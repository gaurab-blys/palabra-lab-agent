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Dashboard" sheetId="2" state="visible" r:id="rId2"/>
    <sheet name="Lists" sheetId="3" state="hidden" r:id="rId3"/>
    <sheet name="Test Cases" sheetId="4" state="visible" r:id="rId4"/>
    <sheet name="3 Test Calls" sheetId="5" state="visible" r:id="rId5"/>
    <sheet name="Critical Phrases" sheetId="6" state="visible" r:id="rId6"/>
  </sheets>
  <definedNames>
    <definedName name="dd_status">'Lists'!$A$2:$A$7</definedName>
    <definedName name="dd_accuracy">'Lists'!$B$2:$B$6</definedName>
    <definedName name="dd_category">'Lists'!$C$2:$C$7</definedName>
    <definedName name="dd_call_result">'Lists'!$D$2:$D$5</definedName>
    <definedName name="dd_language">'Lists'!$E$2:$E$7</definedName>
    <definedName name="dd_call">'Lists'!$F$2:$F$4</definedName>
    <definedName name="dd_priority">'Lists'!$G$2:$G$5</definedName>
    <definedName name="dd_heard">'Lists'!$H$2:$H$4</definedName>
    <definedName name="_xlnm.Print_Titles" localSheetId="0">'Cover'!$1:$2</definedName>
    <definedName name="_xlnm.Print_Titles" localSheetId="1">'Dashboard'!$1:$2</definedName>
    <definedName name="_xlnm._FilterDatabase" localSheetId="3" hidden="1">'Test Cases'!$A$4:$M$38</definedName>
    <definedName name="_xlnm.Print_Titles" localSheetId="3">'Test Cases'!$1:$4</definedName>
    <definedName name="_xlnm._FilterDatabase" localSheetId="4" hidden="1">'3 Test Calls'!$A$4:$J$7</definedName>
    <definedName name="_xlnm.Print_Titles" localSheetId="4">'3 Test Calls'!$1:$4</definedName>
    <definedName name="_xlnm._FilterDatabase" localSheetId="5" hidden="1">'Critical Phrases'!$A$4:$G$14</definedName>
    <definedName name="_xlnm.Print_Titles" localSheetId="5">'Critical Phrases'!$1:$4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0.0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937"/>
      <sz val="11"/>
    </font>
    <font>
      <name val="Calibri"/>
      <b val="1"/>
      <color rgb="00FFFFFF"/>
      <sz val="20"/>
    </font>
    <font>
      <name val="Calibri"/>
      <i val="1"/>
      <color rgb="00E2E8F0"/>
      <sz val="11"/>
    </font>
    <font>
      <name val="Calibri"/>
      <b val="1"/>
      <color rgb="001B365D"/>
      <sz val="14"/>
    </font>
    <font>
      <name val="Calibri"/>
      <b val="1"/>
      <color rgb="00FFFFFF"/>
      <sz val="12"/>
    </font>
    <font>
      <name val="Calibri"/>
      <color rgb="001F2937"/>
      <sz val="12"/>
    </font>
    <font>
      <name val="Calibri"/>
      <b val="1"/>
      <color rgb="0092400E"/>
      <sz val="11"/>
    </font>
    <font>
      <name val="Calibri"/>
      <b val="1"/>
      <color rgb="001E40AF"/>
      <sz val="11"/>
    </font>
    <font>
      <name val="Calibri"/>
      <b val="1"/>
      <color rgb="00065F46"/>
      <sz val="11"/>
    </font>
    <font>
      <name val="Calibri"/>
      <b val="1"/>
      <color rgb="00991B1B"/>
      <sz val="11"/>
    </font>
    <font>
      <name val="Calibri"/>
      <b val="1"/>
      <color rgb="00374151"/>
      <sz val="11"/>
    </font>
    <font>
      <name val="Calibri"/>
      <b val="1"/>
      <color rgb="006B21A8"/>
      <sz val="11"/>
    </font>
    <font>
      <name val="Calibri"/>
      <i val="1"/>
      <color rgb="006B7280"/>
      <sz val="10"/>
    </font>
    <font>
      <name val="Calibri"/>
      <b val="1"/>
      <color rgb="00115E59"/>
      <sz val="11"/>
    </font>
    <font>
      <name val="Calibri"/>
      <b val="1"/>
      <color rgb="001F2937"/>
      <sz val="12"/>
    </font>
    <font>
      <name val="Calibri"/>
      <b val="1"/>
      <color rgb="00115E59"/>
      <sz val="16"/>
    </font>
    <font>
      <name val="Calibri"/>
      <b val="1"/>
      <color rgb="001F2937"/>
      <sz val="11"/>
    </font>
    <font>
      <name val="Calibri"/>
      <b val="1"/>
      <color rgb="001B365D"/>
      <sz val="12"/>
    </font>
    <font>
      <name val="Calibri"/>
      <b val="1"/>
      <color rgb="00115E59"/>
      <sz val="18"/>
    </font>
  </fonts>
  <fills count="1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0F172A"/>
      </patternFill>
    </fill>
    <fill>
      <patternFill patternType="solid">
        <fgColor rgb="000F766E"/>
      </patternFill>
    </fill>
    <fill>
      <patternFill patternType="solid">
        <fgColor rgb="00F4F7FB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E5E7EB"/>
      </patternFill>
    </fill>
    <fill>
      <patternFill patternType="solid">
        <fgColor rgb="00F3E8FF"/>
      </patternFill>
    </fill>
    <fill>
      <patternFill patternType="solid">
        <fgColor rgb="00115E59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7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" fillId="13" borderId="1" applyAlignment="1" pivotButton="0" quotePrefix="0" xfId="0">
      <alignment horizontal="center" vertical="center" wrapText="1"/>
    </xf>
    <xf numFmtId="0" fontId="16" fillId="6" borderId="1" pivotButton="0" quotePrefix="0" xfId="0"/>
    <xf numFmtId="0" fontId="17" fillId="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16" fillId="5" borderId="1" pivotButton="0" quotePrefix="0" xfId="0"/>
    <xf numFmtId="0" fontId="17" fillId="9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165" fontId="17" fillId="6" borderId="1" applyAlignment="1" pivotButton="0" quotePrefix="0" xfId="0">
      <alignment horizontal="center" vertical="center" wrapText="1"/>
    </xf>
    <xf numFmtId="166" fontId="17" fillId="5" borderId="1" applyAlignment="1" pivotButton="0" quotePrefix="0" xfId="0">
      <alignment horizontal="center" vertical="center" wrapText="1"/>
    </xf>
    <xf numFmtId="0" fontId="19" fillId="0" borderId="0" pivotButton="0" quotePrefix="0" xfId="0"/>
    <xf numFmtId="165" fontId="20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2" fillId="0" borderId="0" pivotButton="0" quotePrefix="0" xfId="0"/>
    <xf numFmtId="0" fontId="15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7">
    <dxf>
      <font>
        <name val="Calibri"/>
        <b val="1"/>
        <color rgb="00065F46"/>
        <sz val="11"/>
      </font>
      <fill>
        <patternFill patternType="solid">
          <fgColor rgb="00D1FAE5"/>
        </patternFill>
      </fill>
    </dxf>
    <dxf>
      <font>
        <name val="Calibri"/>
        <b val="1"/>
        <color rgb="00991B1B"/>
        <sz val="11"/>
      </font>
      <fill>
        <patternFill patternType="solid">
          <fgColor rgb="00FEE2E2"/>
        </patternFill>
      </fill>
    </dxf>
    <dxf>
      <font>
        <name val="Calibri"/>
        <b val="1"/>
        <color rgb="00374151"/>
        <sz val="11"/>
      </font>
      <fill>
        <patternFill patternType="solid">
          <fgColor rgb="00E5E7EB"/>
        </patternFill>
      </fill>
    </dxf>
    <dxf>
      <font>
        <name val="Calibri"/>
        <b val="1"/>
        <color rgb="0092400E"/>
        <sz val="11"/>
      </font>
      <fill>
        <patternFill patternType="solid">
          <fgColor rgb="00FEF3C7"/>
        </patternFill>
      </fill>
    </dxf>
    <dxf>
      <font>
        <name val="Calibri"/>
        <b val="1"/>
        <color rgb="001E40AF"/>
        <sz val="11"/>
      </font>
      <fill>
        <patternFill patternType="solid">
          <fgColor rgb="00DBEAFE"/>
        </patternFill>
      </fill>
    </dxf>
    <dxf>
      <font>
        <name val="Calibri"/>
        <b val="1"/>
        <color rgb="006B21A8"/>
        <sz val="11"/>
      </font>
      <fill>
        <patternFill patternType="solid">
          <fgColor rgb="00F3E8FF"/>
        </patternFill>
      </fill>
    </dxf>
    <dxf>
      <font>
        <name val="Calibri"/>
        <b val="1"/>
        <color rgb="009A3412"/>
        <sz val="11"/>
      </font>
      <fill>
        <patternFill patternType="solid">
          <fgColor rgb="00FFED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Case mix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'Dashboard'!B5</f>
            </strRef>
          </tx>
          <spPr>
            <a:ln>
              <a:prstDash val="solid"/>
            </a:ln>
          </spPr>
          <cat>
            <numRef>
              <f>'Dashboard'!$A$6:$A$10</f>
            </numRef>
          </cat>
          <val>
            <numRef>
              <f>'Dashboard'!$B$6:$B$10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12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estCases" displayName="TestCases" ref="A4:M38" headerRowCount="1">
  <autoFilter ref="A4:M38"/>
  <tableColumns count="13">
    <tableColumn id="1" name="Test Case ID"/>
    <tableColumn id="2" name="Category"/>
    <tableColumn id="3" name="Priority"/>
    <tableColumn id="4" name="Test Case"/>
    <tableColumn id="5" name="Steps"/>
    <tableColumn id="6" name="Expected Result"/>
    <tableColumn id="7" name="Actual Result"/>
    <tableColumn id="8" name="Latency (sec)"/>
    <tableColumn id="9" name="Accuracy (1–5)"/>
    <tableColumn id="10" name="Pass/Fail"/>
    <tableColumn id="11" name="Tester"/>
    <tableColumn id="12" name="Date"/>
    <tableColumn id="13" name="Notes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LiveCalls" displayName="LiveCalls" ref="A4:J7" headerRowCount="1">
  <autoFilter ref="A4:J7"/>
  <tableColumns count="10">
    <tableColumn id="1" name="Call"/>
    <tableColumn id="2" name="Language / Scenario"/>
    <tableColumn id="3" name="First Audio Latency (sec)"/>
    <tableColumn id="4" name="Typical Latency (sec)"/>
    <tableColumn id="5" name="Translation Quality (1–5)"/>
    <tableColumn id="6" name="Audio Quality (1–5)"/>
    <tableColumn id="7" name="Overall Result"/>
    <tableColumn id="8" name="Agent heard client?"/>
    <tableColumn id="9" name="Client heard agent?"/>
    <tableColumn id="10" name="Notes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CriticalPhrases" displayName="CriticalPhrases" ref="A4:G14" headerRowCount="1">
  <autoFilter ref="A4:G14"/>
  <tableColumns count="7">
    <tableColumn id="1" name="Scenario"/>
    <tableColumn id="2" name="Test Phrase (English)"/>
    <tableColumn id="3" name="Actual Translation"/>
    <tableColumn id="4" name="Accuracy (1–5)"/>
    <tableColumn id="5" name="Pass/Fail"/>
    <tableColumn id="6" name="Call"/>
    <tableColumn id="7" name="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6" customHeight="1">
      <c r="A1" s="1" t="inlineStr">
        <is>
          <t>Palabra × Twilio  ·  Voice Translation POC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QA test pack  ·  outbound Connect/Stream  ·  agent EN → client HI  ·  client HI → agent EN</t>
        </is>
      </c>
      <c r="B2" s="4" t="n"/>
      <c r="C2" s="4" t="n"/>
      <c r="D2" s="4" t="n"/>
      <c r="E2" s="4" t="n"/>
      <c r="F2" s="4" t="n"/>
      <c r="G2" s="4" t="n"/>
      <c r="H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</row>
    <row r="5" ht="24" customHeight="1">
      <c r="A5" s="6" t="inlineStr">
        <is>
          <t>How to use this workbook</t>
        </is>
      </c>
    </row>
    <row r="7" ht="28" customHeight="1">
      <c r="A7" s="7" t="inlineStr">
        <is>
          <t>1</t>
        </is>
      </c>
      <c r="B7" s="8" t="inlineStr">
        <is>
          <t>Open Test Cases and work top to bottom. Category, priority, accuracy and Pass/Fail are dropdowns.</t>
        </is>
      </c>
      <c r="C7" s="9" t="n"/>
      <c r="D7" s="9" t="n"/>
      <c r="E7" s="9" t="n"/>
      <c r="F7" s="9" t="n"/>
      <c r="G7" s="9" t="n"/>
      <c r="H7" s="9" t="n"/>
    </row>
    <row r="8" ht="28" customHeight="1">
      <c r="A8" s="7" t="inlineStr">
        <is>
          <t>2</t>
        </is>
      </c>
      <c r="B8" s="10" t="inlineStr">
        <is>
          <t>Record three live calls on 3 Test Calls. Use the language-pair dropdown (lab default is English ↔ Hindi).</t>
        </is>
      </c>
      <c r="C8" s="11" t="n"/>
      <c r="D8" s="11" t="n"/>
      <c r="E8" s="11" t="n"/>
      <c r="F8" s="11" t="n"/>
      <c r="G8" s="11" t="n"/>
      <c r="H8" s="11" t="n"/>
    </row>
    <row r="9" ht="28" customHeight="1">
      <c r="A9" s="7" t="inlineStr">
        <is>
          <t>3</t>
        </is>
      </c>
      <c r="B9" s="8" t="inlineStr">
        <is>
          <t>Paste the actual Palabra output on Critical Phrases and score accuracy 1–5.</t>
        </is>
      </c>
      <c r="C9" s="9" t="n"/>
      <c r="D9" s="9" t="n"/>
      <c r="E9" s="9" t="n"/>
      <c r="F9" s="9" t="n"/>
      <c r="G9" s="9" t="n"/>
      <c r="H9" s="9" t="n"/>
    </row>
    <row r="10" ht="28" customHeight="1">
      <c r="A10" s="7" t="inlineStr">
        <is>
          <t>4</t>
        </is>
      </c>
      <c r="B10" s="10" t="inlineStr">
        <is>
          <t>Dashboard updates automatically from Pass/Fail. Do not edit formula cells on Dashboard.</t>
        </is>
      </c>
      <c r="C10" s="11" t="n"/>
      <c r="D10" s="11" t="n"/>
      <c r="E10" s="11" t="n"/>
      <c r="F10" s="11" t="n"/>
      <c r="G10" s="11" t="n"/>
      <c r="H10" s="11" t="n"/>
    </row>
    <row r="11" ht="28" customHeight="1">
      <c r="A11" s="7" t="inlineStr">
        <is>
          <t>5</t>
        </is>
      </c>
      <c r="B11" s="8" t="inlineStr">
        <is>
          <t>Keep the Lists sheet hidden — it feeds every dropdown. Edit it only to add new options.</t>
        </is>
      </c>
      <c r="C11" s="9" t="n"/>
      <c r="D11" s="9" t="n"/>
      <c r="E11" s="9" t="n"/>
      <c r="F11" s="9" t="n"/>
      <c r="G11" s="9" t="n"/>
      <c r="H11" s="9" t="n"/>
    </row>
    <row r="14" ht="24" customHeight="1">
      <c r="A14" s="6" t="inlineStr">
        <is>
          <t>Legend</t>
        </is>
      </c>
    </row>
    <row r="16" ht="26" customHeight="1">
      <c r="A16" s="12" t="inlineStr">
        <is>
          <t>Not Run</t>
        </is>
      </c>
      <c r="B16" s="13" t="inlineStr">
        <is>
          <t>In Progress</t>
        </is>
      </c>
      <c r="C16" s="14" t="inlineStr">
        <is>
          <t>Pass</t>
        </is>
      </c>
      <c r="D16" s="15" t="inlineStr">
        <is>
          <t>Fail</t>
        </is>
      </c>
      <c r="E16" s="16" t="inlineStr">
        <is>
          <t>Blocked</t>
        </is>
      </c>
      <c r="F16" s="17" t="inlineStr">
        <is>
          <t>N/A</t>
        </is>
      </c>
    </row>
    <row r="18">
      <c r="A18" s="18" t="inlineStr">
        <is>
          <t>Lab default  ·  agent en→hi  ·  client hi→en  ·  formatted 2026-08-18</t>
        </is>
      </c>
    </row>
  </sheetData>
  <mergeCells count="10">
    <mergeCell ref="A18:H18"/>
    <mergeCell ref="A5:D5"/>
    <mergeCell ref="B8:H8"/>
    <mergeCell ref="B9:H9"/>
    <mergeCell ref="A2:H2"/>
    <mergeCell ref="B7:H7"/>
    <mergeCell ref="A1:H1"/>
    <mergeCell ref="B10:H10"/>
    <mergeCell ref="B11:H11"/>
    <mergeCell ref="A14:D14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 fitToPage="1"/>
  </sheetPr>
  <dimension ref="A1:H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6" customHeight="1">
      <c r="A1" s="1" t="inlineStr">
        <is>
          <t>Execution dashboard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Live counts from Test Cases  ·  do not type in the metric cells</t>
        </is>
      </c>
      <c r="B2" s="4" t="n"/>
      <c r="C2" s="4" t="n"/>
      <c r="D2" s="4" t="n"/>
      <c r="E2" s="4" t="n"/>
      <c r="F2" s="4" t="n"/>
      <c r="G2" s="4" t="n"/>
      <c r="H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</row>
    <row r="4" ht="28" customHeight="1">
      <c r="A4" s="19" t="inlineStr">
        <is>
          <t>Metric</t>
        </is>
      </c>
      <c r="B4" s="19" t="inlineStr">
        <is>
          <t>Value</t>
        </is>
      </c>
      <c r="C4" s="19" t="n"/>
      <c r="D4" s="19" t="inlineStr">
        <is>
          <t>Category</t>
        </is>
      </c>
      <c r="E4" s="19" t="inlineStr">
        <is>
          <t>Pass</t>
        </is>
      </c>
      <c r="F4" s="19" t="inlineStr">
        <is>
          <t>Fail</t>
        </is>
      </c>
      <c r="G4" s="19" t="inlineStr">
        <is>
          <t>Not Run</t>
        </is>
      </c>
      <c r="H4" s="19" t="inlineStr">
        <is>
          <t>Other</t>
        </is>
      </c>
    </row>
    <row r="5" ht="28" customHeight="1">
      <c r="A5" s="20" t="inlineStr">
        <is>
          <t>Total cases</t>
        </is>
      </c>
      <c r="B5" s="21">
        <f>COUNTA('Test Cases'!A5:A38)</f>
        <v/>
      </c>
      <c r="D5" s="22" t="inlineStr">
        <is>
          <t>Basic Connectivity</t>
        </is>
      </c>
      <c r="E5" s="23">
        <f>COUNTIFS('Test Cases'!B5:B38,D5,'Test Cases'!J5:J38,"Pass")</f>
        <v/>
      </c>
      <c r="F5" s="23">
        <f>COUNTIFS('Test Cases'!B5:B38,D5,'Test Cases'!J5:J38,"Fail")</f>
        <v/>
      </c>
      <c r="G5" s="23">
        <f>COUNTIFS('Test Cases'!B5:B38,D5,'Test Cases'!J5:J38,"Not Run")</f>
        <v/>
      </c>
      <c r="H5" s="23">
        <f>COUNTIF('Test Cases'!B5:B38,D5)-E5-F5-G5</f>
        <v/>
      </c>
    </row>
    <row r="6" ht="28" customHeight="1">
      <c r="A6" s="24" t="inlineStr">
        <is>
          <t>Pass</t>
        </is>
      </c>
      <c r="B6" s="25">
        <f>COUNTIF('Test Cases'!J5:J38,"Pass")</f>
        <v/>
      </c>
      <c r="D6" s="26" t="inlineStr">
        <is>
          <t>Translation Quality</t>
        </is>
      </c>
      <c r="E6" s="27">
        <f>COUNTIFS('Test Cases'!B5:B38,D6,'Test Cases'!J5:J38,"Pass")</f>
        <v/>
      </c>
      <c r="F6" s="27">
        <f>COUNTIFS('Test Cases'!B5:B38,D6,'Test Cases'!J5:J38,"Fail")</f>
        <v/>
      </c>
      <c r="G6" s="27">
        <f>COUNTIFS('Test Cases'!B5:B38,D6,'Test Cases'!J5:J38,"Not Run")</f>
        <v/>
      </c>
      <c r="H6" s="27">
        <f>COUNTIF('Test Cases'!B5:B38,D6)-E6-F6-G6</f>
        <v/>
      </c>
    </row>
    <row r="7" ht="28" customHeight="1">
      <c r="A7" s="20" t="inlineStr">
        <is>
          <t>Fail</t>
        </is>
      </c>
      <c r="B7" s="28">
        <f>COUNTIF('Test Cases'!J5:J38,"Fail")</f>
        <v/>
      </c>
      <c r="D7" s="22" t="inlineStr">
        <is>
          <t>Conversation</t>
        </is>
      </c>
      <c r="E7" s="23">
        <f>COUNTIFS('Test Cases'!B5:B38,D7,'Test Cases'!J5:J38,"Pass")</f>
        <v/>
      </c>
      <c r="F7" s="23">
        <f>COUNTIFS('Test Cases'!B5:B38,D7,'Test Cases'!J5:J38,"Fail")</f>
        <v/>
      </c>
      <c r="G7" s="23">
        <f>COUNTIFS('Test Cases'!B5:B38,D7,'Test Cases'!J5:J38,"Not Run")</f>
        <v/>
      </c>
      <c r="H7" s="23">
        <f>COUNTIF('Test Cases'!B5:B38,D7)-E7-F7-G7</f>
        <v/>
      </c>
    </row>
    <row r="8" ht="28" customHeight="1">
      <c r="A8" s="24" t="inlineStr">
        <is>
          <t>Blocked</t>
        </is>
      </c>
      <c r="B8" s="29">
        <f>COUNTIF('Test Cases'!J5:J38,"Blocked")</f>
        <v/>
      </c>
      <c r="D8" s="26" t="inlineStr">
        <is>
          <t>Failure Handling</t>
        </is>
      </c>
      <c r="E8" s="27">
        <f>COUNTIFS('Test Cases'!B5:B38,D8,'Test Cases'!J5:J38,"Pass")</f>
        <v/>
      </c>
      <c r="F8" s="27">
        <f>COUNTIFS('Test Cases'!B5:B38,D8,'Test Cases'!J5:J38,"Fail")</f>
        <v/>
      </c>
      <c r="G8" s="27">
        <f>COUNTIFS('Test Cases'!B5:B38,D8,'Test Cases'!J5:J38,"Not Run")</f>
        <v/>
      </c>
      <c r="H8" s="27">
        <f>COUNTIF('Test Cases'!B5:B38,D8)-E8-F8-G8</f>
        <v/>
      </c>
    </row>
    <row r="9" ht="28" customHeight="1">
      <c r="A9" s="20" t="inlineStr">
        <is>
          <t>In Progress</t>
        </is>
      </c>
      <c r="B9" s="30">
        <f>COUNTIF('Test Cases'!J5:J38,"In Progress")</f>
        <v/>
      </c>
      <c r="D9" s="22" t="inlineStr">
        <is>
          <t>Performance</t>
        </is>
      </c>
      <c r="E9" s="23">
        <f>COUNTIFS('Test Cases'!B5:B38,D9,'Test Cases'!J5:J38,"Pass")</f>
        <v/>
      </c>
      <c r="F9" s="23">
        <f>COUNTIFS('Test Cases'!B5:B38,D9,'Test Cases'!J5:J38,"Fail")</f>
        <v/>
      </c>
      <c r="G9" s="23">
        <f>COUNTIFS('Test Cases'!B5:B38,D9,'Test Cases'!J5:J38,"Not Run")</f>
        <v/>
      </c>
      <c r="H9" s="23">
        <f>COUNTIF('Test Cases'!B5:B38,D9)-E9-F9-G9</f>
        <v/>
      </c>
    </row>
    <row r="10" ht="28" customHeight="1">
      <c r="A10" s="24" t="inlineStr">
        <is>
          <t>Not Run</t>
        </is>
      </c>
      <c r="B10" s="31">
        <f>COUNTIF('Test Cases'!J5:J38,"Not Run")</f>
        <v/>
      </c>
      <c r="D10" s="26" t="inlineStr">
        <is>
          <t>Audio</t>
        </is>
      </c>
      <c r="E10" s="27">
        <f>COUNTIFS('Test Cases'!B5:B38,D10,'Test Cases'!J5:J38,"Pass")</f>
        <v/>
      </c>
      <c r="F10" s="27">
        <f>COUNTIFS('Test Cases'!B5:B38,D10,'Test Cases'!J5:J38,"Fail")</f>
        <v/>
      </c>
      <c r="G10" s="27">
        <f>COUNTIFS('Test Cases'!B5:B38,D10,'Test Cases'!J5:J38,"Not Run")</f>
        <v/>
      </c>
      <c r="H10" s="27">
        <f>COUNTIF('Test Cases'!B5:B38,D10)-E10-F10-G10</f>
        <v/>
      </c>
    </row>
    <row r="11" ht="28" customHeight="1">
      <c r="A11" s="20" t="inlineStr">
        <is>
          <t>Pass rate</t>
        </is>
      </c>
      <c r="B11" s="32">
        <f>IF((B6+B7)=0,"—",B6/(B6+B7))</f>
        <v/>
      </c>
    </row>
    <row r="12" ht="28" customHeight="1">
      <c r="A12" s="24" t="inlineStr">
        <is>
          <t>Avg accuracy</t>
        </is>
      </c>
      <c r="B12" s="33">
        <f>IF(COUNT('Test Cases'!I5:I38)=0,"—",AVERAGE('Test Cases'!I5:I38))</f>
        <v/>
      </c>
    </row>
    <row r="14">
      <c r="A14" s="34" t="inlineStr">
        <is>
          <t>Critical phrases pass rate</t>
        </is>
      </c>
    </row>
    <row r="15">
      <c r="A15" s="35">
        <f>IF(COUNTA('Critical Phrases'!E5:E14)=0,"—",COUNTIF('Critical Phrases'!E5:E14,"Pass")/COUNTA('Critical Phrases'!E5:E14))</f>
        <v/>
      </c>
    </row>
    <row r="16">
      <c r="A16" s="34" t="inlineStr">
        <is>
          <t>Live calls passed</t>
        </is>
      </c>
    </row>
    <row r="17">
      <c r="A17" s="36">
        <f>COUNTIF('3 Test Calls'!G5:G7,"Pass")&amp;" / 3"</f>
        <v/>
      </c>
    </row>
  </sheetData>
  <mergeCells count="5">
    <mergeCell ref="A1:H1"/>
    <mergeCell ref="A15:B15"/>
    <mergeCell ref="A14:C14"/>
    <mergeCell ref="A2:H2"/>
    <mergeCell ref="A17:B17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37" t="inlineStr">
        <is>
          <t>Pass/Fail</t>
        </is>
      </c>
      <c r="B1" s="37" t="inlineStr">
        <is>
          <t>Accuracy</t>
        </is>
      </c>
      <c r="C1" s="37" t="inlineStr">
        <is>
          <t>Category</t>
        </is>
      </c>
      <c r="D1" s="37" t="inlineStr">
        <is>
          <t>Call Result</t>
        </is>
      </c>
      <c r="E1" s="37" t="inlineStr">
        <is>
          <t>Language Pair</t>
        </is>
      </c>
      <c r="F1" s="37" t="inlineStr">
        <is>
          <t>Call ID</t>
        </is>
      </c>
      <c r="G1" s="37" t="inlineStr">
        <is>
          <t>Priority</t>
        </is>
      </c>
      <c r="H1" s="37" t="inlineStr">
        <is>
          <t>Heard</t>
        </is>
      </c>
    </row>
    <row r="2">
      <c r="A2" s="38" t="inlineStr">
        <is>
          <t>Not Run</t>
        </is>
      </c>
      <c r="B2" s="38" t="inlineStr">
        <is>
          <t>1</t>
        </is>
      </c>
      <c r="C2" s="38" t="inlineStr">
        <is>
          <t>Basic Connectivity</t>
        </is>
      </c>
      <c r="D2" s="38" t="inlineStr">
        <is>
          <t>Not Run</t>
        </is>
      </c>
      <c r="E2" s="38" t="inlineStr">
        <is>
          <t>English → Hindi</t>
        </is>
      </c>
      <c r="F2" s="38" t="inlineStr">
        <is>
          <t>Call 1</t>
        </is>
      </c>
      <c r="G2" s="38" t="inlineStr">
        <is>
          <t>P0 – Blocker</t>
        </is>
      </c>
      <c r="H2" s="38" t="inlineStr">
        <is>
          <t>Pass</t>
        </is>
      </c>
    </row>
    <row r="3">
      <c r="A3" s="38" t="inlineStr">
        <is>
          <t>In Progress</t>
        </is>
      </c>
      <c r="B3" s="38" t="inlineStr">
        <is>
          <t>2</t>
        </is>
      </c>
      <c r="C3" s="38" t="inlineStr">
        <is>
          <t>Translation Quality</t>
        </is>
      </c>
      <c r="D3" s="38" t="inlineStr">
        <is>
          <t>Pass</t>
        </is>
      </c>
      <c r="E3" s="38" t="inlineStr">
        <is>
          <t>Hindi → English</t>
        </is>
      </c>
      <c r="F3" s="38" t="inlineStr">
        <is>
          <t>Call 2</t>
        </is>
      </c>
      <c r="G3" s="38" t="inlineStr">
        <is>
          <t>P1 – High</t>
        </is>
      </c>
      <c r="H3" s="38" t="inlineStr">
        <is>
          <t>Fail</t>
        </is>
      </c>
    </row>
    <row r="4">
      <c r="A4" s="38" t="inlineStr">
        <is>
          <t>Pass</t>
        </is>
      </c>
      <c r="B4" s="38" t="inlineStr">
        <is>
          <t>3</t>
        </is>
      </c>
      <c r="C4" s="38" t="inlineStr">
        <is>
          <t>Conversation</t>
        </is>
      </c>
      <c r="D4" s="38" t="inlineStr">
        <is>
          <t>Fail</t>
        </is>
      </c>
      <c r="E4" s="38" t="inlineStr">
        <is>
          <t>Two-way (EN ↔ HI)</t>
        </is>
      </c>
      <c r="F4" s="38" t="inlineStr">
        <is>
          <t>Call 3</t>
        </is>
      </c>
      <c r="G4" s="38" t="inlineStr">
        <is>
          <t>P2 – Medium</t>
        </is>
      </c>
      <c r="H4" s="38" t="inlineStr">
        <is>
          <t>Not Run</t>
        </is>
      </c>
    </row>
    <row r="5">
      <c r="A5" s="38" t="inlineStr">
        <is>
          <t>Fail</t>
        </is>
      </c>
      <c r="B5" s="38" t="inlineStr">
        <is>
          <t>4</t>
        </is>
      </c>
      <c r="C5" s="38" t="inlineStr">
        <is>
          <t>Failure Handling</t>
        </is>
      </c>
      <c r="D5" s="38" t="inlineStr">
        <is>
          <t>Partial</t>
        </is>
      </c>
      <c r="E5" s="38" t="inlineStr">
        <is>
          <t>English → German</t>
        </is>
      </c>
      <c r="G5" s="38" t="inlineStr">
        <is>
          <t>P3 – Low</t>
        </is>
      </c>
    </row>
    <row r="6">
      <c r="A6" s="38" t="inlineStr">
        <is>
          <t>Blocked</t>
        </is>
      </c>
      <c r="B6" s="38" t="inlineStr">
        <is>
          <t>5</t>
        </is>
      </c>
      <c r="C6" s="38" t="inlineStr">
        <is>
          <t>Performance</t>
        </is>
      </c>
      <c r="E6" s="38" t="inlineStr">
        <is>
          <t>German → English</t>
        </is>
      </c>
    </row>
    <row r="7">
      <c r="A7" s="38" t="inlineStr">
        <is>
          <t>N/A</t>
        </is>
      </c>
      <c r="C7" s="38" t="inlineStr">
        <is>
          <t>Audio</t>
        </is>
      </c>
      <c r="E7" s="38" t="inlineStr">
        <is>
          <t>Realistic CX/Ops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M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46" customWidth="1" min="5" max="5"/>
    <col width="42" customWidth="1" min="6" max="6"/>
    <col width="32" customWidth="1" min="7" max="7"/>
    <col width="15" customWidth="1" min="8" max="8"/>
    <col width="16" customWidth="1" min="9" max="9"/>
    <col width="14" customWidth="1" min="10" max="10"/>
    <col width="16" customWidth="1" min="11" max="11"/>
    <col width="14" customWidth="1" min="12" max="12"/>
    <col width="28" customWidth="1" min="13" max="13"/>
  </cols>
  <sheetData>
    <row r="1" ht="36" customHeight="1">
      <c r="A1" s="1" t="inlineStr">
        <is>
          <t>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Execute against the Palabra + Twilio lab  ·  mark Pass/Fail from the dropdown  ·  accuracy is 1 (poor) to 5 (excellent)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 ht="28" customHeight="1">
      <c r="A4" s="19" t="inlineStr">
        <is>
          <t>Test Case ID</t>
        </is>
      </c>
      <c r="B4" s="19" t="inlineStr">
        <is>
          <t>Category</t>
        </is>
      </c>
      <c r="C4" s="19" t="inlineStr">
        <is>
          <t>Priority</t>
        </is>
      </c>
      <c r="D4" s="19" t="inlineStr">
        <is>
          <t>Test Case</t>
        </is>
      </c>
      <c r="E4" s="19" t="inlineStr">
        <is>
          <t>Steps</t>
        </is>
      </c>
      <c r="F4" s="19" t="inlineStr">
        <is>
          <t>Expected Result</t>
        </is>
      </c>
      <c r="G4" s="19" t="inlineStr">
        <is>
          <t>Actual Result</t>
        </is>
      </c>
      <c r="H4" s="19" t="inlineStr">
        <is>
          <t>Latency (sec)</t>
        </is>
      </c>
      <c r="I4" s="19" t="inlineStr">
        <is>
          <t>Accuracy (1–5)</t>
        </is>
      </c>
      <c r="J4" s="19" t="inlineStr">
        <is>
          <t>Pass/Fail</t>
        </is>
      </c>
      <c r="K4" s="19" t="inlineStr">
        <is>
          <t>Tester</t>
        </is>
      </c>
      <c r="L4" s="19" t="inlineStr">
        <is>
          <t>Date</t>
        </is>
      </c>
      <c r="M4" s="19" t="inlineStr">
        <is>
          <t>Notes</t>
        </is>
      </c>
    </row>
    <row r="5" ht="48" customHeight="1">
      <c r="A5" s="39" t="inlineStr">
        <is>
          <t>TC-01</t>
        </is>
      </c>
      <c r="B5" s="40" t="inlineStr">
        <is>
          <t>Basic Connectivity</t>
        </is>
      </c>
      <c r="C5" s="23" t="inlineStr">
        <is>
          <t>P0 – Blocker</t>
        </is>
      </c>
      <c r="D5" s="40" t="inlineStr">
        <is>
          <t>Twilio → Palabra connection</t>
        </is>
      </c>
      <c r="E5" s="40" t="inlineStr">
        <is>
          <t>Make a sandbox Twilio call and connect it to Palabra</t>
        </is>
      </c>
      <c r="F5" s="40" t="inlineStr">
        <is>
          <t>Call connects and Palabra receives audio</t>
        </is>
      </c>
      <c r="G5" s="40" t="n"/>
      <c r="H5" s="23" t="n"/>
      <c r="I5" s="23" t="n"/>
      <c r="J5" s="23" t="inlineStr">
        <is>
          <t>Not Run</t>
        </is>
      </c>
      <c r="K5" s="23" t="n"/>
      <c r="L5" s="41" t="n"/>
      <c r="M5" s="40" t="n"/>
    </row>
    <row r="6" ht="48" customHeight="1">
      <c r="A6" s="42" t="inlineStr">
        <is>
          <t>TC-02</t>
        </is>
      </c>
      <c r="B6" s="43" t="inlineStr">
        <is>
          <t>Basic Connectivity</t>
        </is>
      </c>
      <c r="C6" s="27" t="inlineStr">
        <is>
          <t>P0 – Blocker</t>
        </is>
      </c>
      <c r="D6" s="43" t="inlineStr">
        <is>
          <t>Translated audio returned</t>
        </is>
      </c>
      <c r="E6" s="43" t="inlineStr">
        <is>
          <t>Speak in Language A while recipient uses Language B</t>
        </is>
      </c>
      <c r="F6" s="43" t="inlineStr">
        <is>
          <t>Translated speech is played to recipient</t>
        </is>
      </c>
      <c r="G6" s="43" t="n"/>
      <c r="H6" s="27" t="n"/>
      <c r="I6" s="27" t="n"/>
      <c r="J6" s="27" t="inlineStr">
        <is>
          <t>Not Run</t>
        </is>
      </c>
      <c r="K6" s="27" t="n"/>
      <c r="L6" s="44" t="n"/>
      <c r="M6" s="43" t="n"/>
    </row>
    <row r="7" ht="48" customHeight="1">
      <c r="A7" s="39" t="inlineStr">
        <is>
          <t>TC-03</t>
        </is>
      </c>
      <c r="B7" s="40" t="inlineStr">
        <is>
          <t>Basic Connectivity</t>
        </is>
      </c>
      <c r="C7" s="23" t="inlineStr">
        <is>
          <t>P0 – Blocker</t>
        </is>
      </c>
      <c r="D7" s="40" t="inlineStr">
        <is>
          <t>Two-way translation</t>
        </is>
      </c>
      <c r="E7" s="40" t="inlineStr">
        <is>
          <t>Test A → B and B → A during the same call</t>
        </is>
      </c>
      <c r="F7" s="40" t="inlineStr">
        <is>
          <t>Both directions translate correctly</t>
        </is>
      </c>
      <c r="G7" s="40" t="n"/>
      <c r="H7" s="23" t="n"/>
      <c r="I7" s="23" t="n"/>
      <c r="J7" s="23" t="inlineStr">
        <is>
          <t>Not Run</t>
        </is>
      </c>
      <c r="K7" s="23" t="n"/>
      <c r="L7" s="41" t="n"/>
      <c r="M7" s="40" t="n"/>
    </row>
    <row r="8" ht="48" customHeight="1">
      <c r="A8" s="42" t="inlineStr">
        <is>
          <t>TC-04</t>
        </is>
      </c>
      <c r="B8" s="43" t="inlineStr">
        <is>
          <t>Basic Connectivity</t>
        </is>
      </c>
      <c r="C8" s="27" t="inlineStr">
        <is>
          <t>P1 – High</t>
        </is>
      </c>
      <c r="D8" s="43" t="inlineStr">
        <is>
          <t>Call establishment</t>
        </is>
      </c>
      <c r="E8" s="43" t="inlineStr">
        <is>
          <t>Make 3 consecutive sandbox calls</t>
        </is>
      </c>
      <c r="F8" s="43" t="inlineStr">
        <is>
          <t>All calls establish successfully</t>
        </is>
      </c>
      <c r="G8" s="43" t="n"/>
      <c r="H8" s="27" t="n"/>
      <c r="I8" s="27" t="n"/>
      <c r="J8" s="27" t="inlineStr">
        <is>
          <t>Not Run</t>
        </is>
      </c>
      <c r="K8" s="27" t="n"/>
      <c r="L8" s="44" t="n"/>
      <c r="M8" s="43" t="n"/>
    </row>
    <row r="9" ht="48" customHeight="1">
      <c r="A9" s="39" t="inlineStr">
        <is>
          <t>TC-05</t>
        </is>
      </c>
      <c r="B9" s="40" t="inlineStr">
        <is>
          <t>Basic Connectivity</t>
        </is>
      </c>
      <c r="C9" s="23" t="inlineStr">
        <is>
          <t>P1 – High</t>
        </is>
      </c>
      <c r="D9" s="40" t="inlineStr">
        <is>
          <t>Call termination</t>
        </is>
      </c>
      <c r="E9" s="40" t="inlineStr">
        <is>
          <t>End call from caller and receiver side</t>
        </is>
      </c>
      <c r="F9" s="40" t="inlineStr">
        <is>
          <t>Twilio and Palabra sessions terminate cleanly</t>
        </is>
      </c>
      <c r="G9" s="40" t="n"/>
      <c r="H9" s="23" t="n"/>
      <c r="I9" s="23" t="n"/>
      <c r="J9" s="23" t="inlineStr">
        <is>
          <t>Not Run</t>
        </is>
      </c>
      <c r="K9" s="23" t="n"/>
      <c r="L9" s="41" t="n"/>
      <c r="M9" s="40" t="n"/>
    </row>
    <row r="10" ht="48" customHeight="1">
      <c r="A10" s="42" t="inlineStr">
        <is>
          <t>TC-06</t>
        </is>
      </c>
      <c r="B10" s="43" t="inlineStr">
        <is>
          <t>Basic Connectivity</t>
        </is>
      </c>
      <c r="C10" s="27" t="inlineStr">
        <is>
          <t>P1 – High</t>
        </is>
      </c>
      <c r="D10" s="43" t="inlineStr">
        <is>
          <t>WebSocket reconnection</t>
        </is>
      </c>
      <c r="E10" s="43" t="inlineStr">
        <is>
          <t>Interrupt Palabra WebSocket during a call</t>
        </is>
      </c>
      <c r="F10" s="43" t="inlineStr">
        <is>
          <t>Reconnects or fails gracefully</t>
        </is>
      </c>
      <c r="G10" s="43" t="n"/>
      <c r="H10" s="27" t="n"/>
      <c r="I10" s="27" t="n"/>
      <c r="J10" s="27" t="inlineStr">
        <is>
          <t>Not Run</t>
        </is>
      </c>
      <c r="K10" s="27" t="n"/>
      <c r="L10" s="44" t="n"/>
      <c r="M10" s="43" t="n"/>
    </row>
    <row r="11" ht="48" customHeight="1">
      <c r="A11" s="39" t="inlineStr">
        <is>
          <t>TC-07</t>
        </is>
      </c>
      <c r="B11" s="40" t="inlineStr">
        <is>
          <t>Translation Quality</t>
        </is>
      </c>
      <c r="C11" s="23" t="inlineStr">
        <is>
          <t>P1 – High</t>
        </is>
      </c>
      <c r="D11" s="40" t="inlineStr">
        <is>
          <t>Simple sentence</t>
        </is>
      </c>
      <c r="E11" s="40" t="inlineStr">
        <is>
          <t>Test a simple greeting/question</t>
        </is>
      </c>
      <c r="F11" s="40" t="inlineStr">
        <is>
          <t>Meaning is preserved</t>
        </is>
      </c>
      <c r="G11" s="40" t="n"/>
      <c r="H11" s="23" t="n"/>
      <c r="I11" s="23" t="n"/>
      <c r="J11" s="23" t="inlineStr">
        <is>
          <t>Not Run</t>
        </is>
      </c>
      <c r="K11" s="23" t="n"/>
      <c r="L11" s="41" t="n"/>
      <c r="M11" s="40" t="n"/>
    </row>
    <row r="12" ht="48" customHeight="1">
      <c r="A12" s="42" t="inlineStr">
        <is>
          <t>TC-08</t>
        </is>
      </c>
      <c r="B12" s="43" t="inlineStr">
        <is>
          <t>Translation Quality</t>
        </is>
      </c>
      <c r="C12" s="27" t="inlineStr">
        <is>
          <t>P0 – Blocker</t>
        </is>
      </c>
      <c r="D12" s="43" t="inlineStr">
        <is>
          <t>Blys terminology</t>
        </is>
      </c>
      <c r="E12" s="43" t="inlineStr">
        <is>
          <t>Test booking-related sentence</t>
        </is>
      </c>
      <c r="F12" s="43" t="inlineStr">
        <is>
          <t>Booking terminology is translated correctly</t>
        </is>
      </c>
      <c r="G12" s="43" t="n"/>
      <c r="H12" s="27" t="n"/>
      <c r="I12" s="27" t="n"/>
      <c r="J12" s="27" t="inlineStr">
        <is>
          <t>Not Run</t>
        </is>
      </c>
      <c r="K12" s="27" t="n"/>
      <c r="L12" s="44" t="n"/>
      <c r="M12" s="43" t="n"/>
    </row>
    <row r="13" ht="48" customHeight="1">
      <c r="A13" s="39" t="inlineStr">
        <is>
          <t>TC-09</t>
        </is>
      </c>
      <c r="B13" s="40" t="inlineStr">
        <is>
          <t>Translation Quality</t>
        </is>
      </c>
      <c r="C13" s="23" t="inlineStr">
        <is>
          <t>P1 – High</t>
        </is>
      </c>
      <c r="D13" s="40" t="inlineStr">
        <is>
          <t>Names</t>
        </is>
      </c>
      <c r="E13" s="40" t="inlineStr">
        <is>
          <t>Use client/provider names</t>
        </is>
      </c>
      <c r="F13" s="40" t="inlineStr">
        <is>
          <t>Names are preserved correctly</t>
        </is>
      </c>
      <c r="G13" s="40" t="n"/>
      <c r="H13" s="23" t="n"/>
      <c r="I13" s="23" t="n"/>
      <c r="J13" s="23" t="inlineStr">
        <is>
          <t>Not Run</t>
        </is>
      </c>
      <c r="K13" s="23" t="n"/>
      <c r="L13" s="41" t="n"/>
      <c r="M13" s="40" t="n"/>
    </row>
    <row r="14" ht="48" customHeight="1">
      <c r="A14" s="42" t="inlineStr">
        <is>
          <t>TC-10</t>
        </is>
      </c>
      <c r="B14" s="43" t="inlineStr">
        <is>
          <t>Translation Quality</t>
        </is>
      </c>
      <c r="C14" s="27" t="inlineStr">
        <is>
          <t>P1 – High</t>
        </is>
      </c>
      <c r="D14" s="43" t="inlineStr">
        <is>
          <t>Numbers and currency</t>
        </is>
      </c>
      <c r="E14" s="43" t="inlineStr">
        <is>
          <t>Test amounts such as 150 dollars</t>
        </is>
      </c>
      <c r="F14" s="43" t="inlineStr">
        <is>
          <t>Number and currency are preserved</t>
        </is>
      </c>
      <c r="G14" s="43" t="n"/>
      <c r="H14" s="27" t="n"/>
      <c r="I14" s="27" t="n"/>
      <c r="J14" s="27" t="inlineStr">
        <is>
          <t>Not Run</t>
        </is>
      </c>
      <c r="K14" s="27" t="n"/>
      <c r="L14" s="44" t="n"/>
      <c r="M14" s="43" t="n"/>
    </row>
    <row r="15" ht="48" customHeight="1">
      <c r="A15" s="39" t="inlineStr">
        <is>
          <t>TC-11</t>
        </is>
      </c>
      <c r="B15" s="40" t="inlineStr">
        <is>
          <t>Translation Quality</t>
        </is>
      </c>
      <c r="C15" s="23" t="inlineStr">
        <is>
          <t>P1 – High</t>
        </is>
      </c>
      <c r="D15" s="40" t="inlineStr">
        <is>
          <t>Date and time</t>
        </is>
      </c>
      <c r="E15" s="40" t="inlineStr">
        <is>
          <t>Test appointment date/time</t>
        </is>
      </c>
      <c r="F15" s="40" t="inlineStr">
        <is>
          <t>Date and time are preserved</t>
        </is>
      </c>
      <c r="G15" s="40" t="n"/>
      <c r="H15" s="23" t="n"/>
      <c r="I15" s="23" t="n"/>
      <c r="J15" s="23" t="inlineStr">
        <is>
          <t>Not Run</t>
        </is>
      </c>
      <c r="K15" s="23" t="n"/>
      <c r="L15" s="41" t="n"/>
      <c r="M15" s="40" t="n"/>
    </row>
    <row r="16" ht="48" customHeight="1">
      <c r="A16" s="42" t="inlineStr">
        <is>
          <t>TC-12</t>
        </is>
      </c>
      <c r="B16" s="43" t="inlineStr">
        <is>
          <t>Translation Quality</t>
        </is>
      </c>
      <c r="C16" s="27" t="inlineStr">
        <is>
          <t>P1 – High</t>
        </is>
      </c>
      <c r="D16" s="43" t="inlineStr">
        <is>
          <t>Address</t>
        </is>
      </c>
      <c r="E16" s="43" t="inlineStr">
        <is>
          <t>Test a realistic address</t>
        </is>
      </c>
      <c r="F16" s="43" t="inlineStr">
        <is>
          <t>Address remains understandable/correct</t>
        </is>
      </c>
      <c r="G16" s="43" t="n"/>
      <c r="H16" s="27" t="n"/>
      <c r="I16" s="27" t="n"/>
      <c r="J16" s="27" t="inlineStr">
        <is>
          <t>Not Run</t>
        </is>
      </c>
      <c r="K16" s="27" t="n"/>
      <c r="L16" s="44" t="n"/>
      <c r="M16" s="43" t="n"/>
    </row>
    <row r="17" ht="48" customHeight="1">
      <c r="A17" s="39" t="inlineStr">
        <is>
          <t>TC-13</t>
        </is>
      </c>
      <c r="B17" s="40" t="inlineStr">
        <is>
          <t>Translation Quality</t>
        </is>
      </c>
      <c r="C17" s="23" t="inlineStr">
        <is>
          <t>P2 – Medium</t>
        </is>
      </c>
      <c r="D17" s="40" t="inlineStr">
        <is>
          <t>Long sentence</t>
        </is>
      </c>
      <c r="E17" s="40" t="inlineStr">
        <is>
          <t>Speak continuously for 20–30 seconds</t>
        </is>
      </c>
      <c r="F17" s="40" t="inlineStr">
        <is>
          <t>Translation remains coherent</t>
        </is>
      </c>
      <c r="G17" s="40" t="n"/>
      <c r="H17" s="23" t="n"/>
      <c r="I17" s="23" t="n"/>
      <c r="J17" s="23" t="inlineStr">
        <is>
          <t>Not Run</t>
        </is>
      </c>
      <c r="K17" s="23" t="n"/>
      <c r="L17" s="41" t="n"/>
      <c r="M17" s="40" t="n"/>
    </row>
    <row r="18" ht="48" customHeight="1">
      <c r="A18" s="42" t="inlineStr">
        <is>
          <t>TC-14</t>
        </is>
      </c>
      <c r="B18" s="43" t="inlineStr">
        <is>
          <t>Translation Quality</t>
        </is>
      </c>
      <c r="C18" s="27" t="inlineStr">
        <is>
          <t>P1 – High</t>
        </is>
      </c>
      <c r="D18" s="43" t="inlineStr">
        <is>
          <t>Short responses</t>
        </is>
      </c>
      <c r="E18" s="43" t="inlineStr">
        <is>
          <t>Test Yes, No, Okay, That's fine</t>
        </is>
      </c>
      <c r="F18" s="43" t="inlineStr">
        <is>
          <t>Short phrases translate correctly</t>
        </is>
      </c>
      <c r="G18" s="43" t="n"/>
      <c r="H18" s="27" t="n"/>
      <c r="I18" s="27" t="n"/>
      <c r="J18" s="27" t="inlineStr">
        <is>
          <t>Not Run</t>
        </is>
      </c>
      <c r="K18" s="27" t="n"/>
      <c r="L18" s="44" t="n"/>
      <c r="M18" s="43" t="n"/>
    </row>
    <row r="19" ht="48" customHeight="1">
      <c r="A19" s="39" t="inlineStr">
        <is>
          <t>TC-15</t>
        </is>
      </c>
      <c r="B19" s="40" t="inlineStr">
        <is>
          <t>Translation Quality</t>
        </is>
      </c>
      <c r="C19" s="23" t="inlineStr">
        <is>
          <t>P1 – High</t>
        </is>
      </c>
      <c r="D19" s="40" t="inlineStr">
        <is>
          <t>Questions</t>
        </is>
      </c>
      <c r="E19" s="40" t="inlineStr">
        <is>
          <t>Ask several natural questions</t>
        </is>
      </c>
      <c r="F19" s="40" t="inlineStr">
        <is>
          <t>Question meaning is preserved</t>
        </is>
      </c>
      <c r="G19" s="40" t="n"/>
      <c r="H19" s="23" t="n"/>
      <c r="I19" s="23" t="n"/>
      <c r="J19" s="23" t="inlineStr">
        <is>
          <t>Not Run</t>
        </is>
      </c>
      <c r="K19" s="23" t="n"/>
      <c r="L19" s="41" t="n"/>
      <c r="M19" s="40" t="n"/>
    </row>
    <row r="20" ht="48" customHeight="1">
      <c r="A20" s="42" t="inlineStr">
        <is>
          <t>TC-16</t>
        </is>
      </c>
      <c r="B20" s="43" t="inlineStr">
        <is>
          <t>Translation Quality</t>
        </is>
      </c>
      <c r="C20" s="27" t="inlineStr">
        <is>
          <t>P0 – Blocker</t>
        </is>
      </c>
      <c r="D20" s="43" t="inlineStr">
        <is>
          <t>Negation</t>
        </is>
      </c>
      <c r="E20" s="43" t="inlineStr">
        <is>
          <t>Test 'I don't want to cancel the booking'</t>
        </is>
      </c>
      <c r="F20" s="43" t="inlineStr">
        <is>
          <t>Negation is preserved</t>
        </is>
      </c>
      <c r="G20" s="43" t="n"/>
      <c r="H20" s="27" t="n"/>
      <c r="I20" s="27" t="n"/>
      <c r="J20" s="27" t="inlineStr">
        <is>
          <t>Not Run</t>
        </is>
      </c>
      <c r="K20" s="27" t="n"/>
      <c r="L20" s="44" t="n"/>
      <c r="M20" s="43" t="n"/>
    </row>
    <row r="21" ht="48" customHeight="1">
      <c r="A21" s="39" t="inlineStr">
        <is>
          <t>TC-17</t>
        </is>
      </c>
      <c r="B21" s="40" t="inlineStr">
        <is>
          <t>Translation Quality</t>
        </is>
      </c>
      <c r="C21" s="23" t="inlineStr">
        <is>
          <t>P2 – Medium</t>
        </is>
      </c>
      <c r="D21" s="40" t="inlineStr">
        <is>
          <t>Context</t>
        </is>
      </c>
      <c r="E21" s="40" t="inlineStr">
        <is>
          <t>Use words with multiple meanings</t>
        </is>
      </c>
      <c r="F21" s="40" t="inlineStr">
        <is>
          <t>Correct meaning is selected from context</t>
        </is>
      </c>
      <c r="G21" s="40" t="n"/>
      <c r="H21" s="23" t="n"/>
      <c r="I21" s="23" t="n"/>
      <c r="J21" s="23" t="inlineStr">
        <is>
          <t>Not Run</t>
        </is>
      </c>
      <c r="K21" s="23" t="n"/>
      <c r="L21" s="41" t="n"/>
      <c r="M21" s="40" t="n"/>
    </row>
    <row r="22" ht="48" customHeight="1">
      <c r="A22" s="42" t="inlineStr">
        <is>
          <t>TC-18</t>
        </is>
      </c>
      <c r="B22" s="43" t="inlineStr">
        <is>
          <t>Translation Quality</t>
        </is>
      </c>
      <c r="C22" s="27" t="inlineStr">
        <is>
          <t>P2 – Medium</t>
        </is>
      </c>
      <c r="D22" s="43" t="inlineStr">
        <is>
          <t>Accent</t>
        </is>
      </c>
      <c r="E22" s="43" t="inlineStr">
        <is>
          <t>Test with a non-native accent</t>
        </is>
      </c>
      <c r="F22" s="43" t="inlineStr">
        <is>
          <t>Speech is recognised and translated correctly</t>
        </is>
      </c>
      <c r="G22" s="43" t="n"/>
      <c r="H22" s="27" t="n"/>
      <c r="I22" s="27" t="n"/>
      <c r="J22" s="27" t="inlineStr">
        <is>
          <t>Not Run</t>
        </is>
      </c>
      <c r="K22" s="27" t="n"/>
      <c r="L22" s="44" t="n"/>
      <c r="M22" s="43" t="n"/>
    </row>
    <row r="23" ht="48" customHeight="1">
      <c r="A23" s="39" t="inlineStr">
        <is>
          <t>TC-19</t>
        </is>
      </c>
      <c r="B23" s="40" t="inlineStr">
        <is>
          <t>Conversation</t>
        </is>
      </c>
      <c r="C23" s="23" t="inlineStr">
        <is>
          <t>P1 – High</t>
        </is>
      </c>
      <c r="D23" s="40" t="inlineStr">
        <is>
          <t>Natural conversation</t>
        </is>
      </c>
      <c r="E23" s="40" t="inlineStr">
        <is>
          <t>Conduct a 5-minute natural conversation</t>
        </is>
      </c>
      <c r="F23" s="40" t="inlineStr">
        <is>
          <t>Conversation remains understandable and natural</t>
        </is>
      </c>
      <c r="G23" s="40" t="n"/>
      <c r="H23" s="23" t="n"/>
      <c r="I23" s="23" t="n"/>
      <c r="J23" s="23" t="inlineStr">
        <is>
          <t>Not Run</t>
        </is>
      </c>
      <c r="K23" s="23" t="n"/>
      <c r="L23" s="41" t="n"/>
      <c r="M23" s="40" t="n"/>
    </row>
    <row r="24" ht="48" customHeight="1">
      <c r="A24" s="42" t="inlineStr">
        <is>
          <t>TC-20</t>
        </is>
      </c>
      <c r="B24" s="43" t="inlineStr">
        <is>
          <t>Conversation</t>
        </is>
      </c>
      <c r="C24" s="27" t="inlineStr">
        <is>
          <t>P1 – High</t>
        </is>
      </c>
      <c r="D24" s="43" t="inlineStr">
        <is>
          <t>Interruptions / barge-in</t>
        </is>
      </c>
      <c r="E24" s="43" t="inlineStr">
        <is>
          <t>Interrupt the other speaker while they are talking</t>
        </is>
      </c>
      <c r="F24" s="43" t="inlineStr">
        <is>
          <t>System handles overlapping speech reasonably</t>
        </is>
      </c>
      <c r="G24" s="43" t="n"/>
      <c r="H24" s="27" t="n"/>
      <c r="I24" s="27" t="n"/>
      <c r="J24" s="27" t="inlineStr">
        <is>
          <t>Not Run</t>
        </is>
      </c>
      <c r="K24" s="27" t="n"/>
      <c r="L24" s="44" t="n"/>
      <c r="M24" s="43" t="n"/>
    </row>
    <row r="25" ht="48" customHeight="1">
      <c r="A25" s="39" t="inlineStr">
        <is>
          <t>TC-21</t>
        </is>
      </c>
      <c r="B25" s="40" t="inlineStr">
        <is>
          <t>Conversation</t>
        </is>
      </c>
      <c r="C25" s="23" t="inlineStr">
        <is>
          <t>P2 – Medium</t>
        </is>
      </c>
      <c r="D25" s="40" t="inlineStr">
        <is>
          <t>Background noise</t>
        </is>
      </c>
      <c r="E25" s="40" t="inlineStr">
        <is>
          <t>Test quiet room, office noise and moderate noise</t>
        </is>
      </c>
      <c r="F25" s="40" t="inlineStr">
        <is>
          <t>Translation remains usable</t>
        </is>
      </c>
      <c r="G25" s="40" t="n"/>
      <c r="H25" s="23" t="n"/>
      <c r="I25" s="23" t="n"/>
      <c r="J25" s="23" t="inlineStr">
        <is>
          <t>Not Run</t>
        </is>
      </c>
      <c r="K25" s="23" t="n"/>
      <c r="L25" s="41" t="n"/>
      <c r="M25" s="40" t="n"/>
    </row>
    <row r="26" ht="48" customHeight="1">
      <c r="A26" s="42" t="inlineStr">
        <is>
          <t>TC-22</t>
        </is>
      </c>
      <c r="B26" s="43" t="inlineStr">
        <is>
          <t>Conversation</t>
        </is>
      </c>
      <c r="C26" s="27" t="inlineStr">
        <is>
          <t>P2 – Medium</t>
        </is>
      </c>
      <c r="D26" s="43" t="inlineStr">
        <is>
          <t>Speaking speed</t>
        </is>
      </c>
      <c r="E26" s="43" t="inlineStr">
        <is>
          <t>Test slow, normal and fast speech</t>
        </is>
      </c>
      <c r="F26" s="43" t="inlineStr">
        <is>
          <t>Translation remains accurate and usable</t>
        </is>
      </c>
      <c r="G26" s="43" t="n"/>
      <c r="H26" s="27" t="n"/>
      <c r="I26" s="27" t="n"/>
      <c r="J26" s="27" t="inlineStr">
        <is>
          <t>Not Run</t>
        </is>
      </c>
      <c r="K26" s="27" t="n"/>
      <c r="L26" s="44" t="n"/>
      <c r="M26" s="43" t="n"/>
    </row>
    <row r="27" ht="48" customHeight="1">
      <c r="A27" s="39" t="inlineStr">
        <is>
          <t>TC-23</t>
        </is>
      </c>
      <c r="B27" s="40" t="inlineStr">
        <is>
          <t>Conversation</t>
        </is>
      </c>
      <c r="C27" s="23" t="inlineStr">
        <is>
          <t>P2 – Medium</t>
        </is>
      </c>
      <c r="D27" s="40" t="inlineStr">
        <is>
          <t>Corrections</t>
        </is>
      </c>
      <c r="E27" s="40" t="inlineStr">
        <is>
          <t>Say 'Tuesday—sorry, Wednesday'</t>
        </is>
      </c>
      <c r="F27" s="40" t="inlineStr">
        <is>
          <t>Final correction is reflected correctly</t>
        </is>
      </c>
      <c r="G27" s="40" t="n"/>
      <c r="H27" s="23" t="n"/>
      <c r="I27" s="23" t="n"/>
      <c r="J27" s="23" t="inlineStr">
        <is>
          <t>Not Run</t>
        </is>
      </c>
      <c r="K27" s="23" t="n"/>
      <c r="L27" s="41" t="n"/>
      <c r="M27" s="40" t="n"/>
    </row>
    <row r="28" ht="48" customHeight="1">
      <c r="A28" s="42" t="inlineStr">
        <is>
          <t>TC-24</t>
        </is>
      </c>
      <c r="B28" s="43" t="inlineStr">
        <is>
          <t>Failure Handling</t>
        </is>
      </c>
      <c r="C28" s="27" t="inlineStr">
        <is>
          <t>P1 – High</t>
        </is>
      </c>
      <c r="D28" s="43" t="inlineStr">
        <is>
          <t>Palabra unavailable</t>
        </is>
      </c>
      <c r="E28" s="43" t="inlineStr">
        <is>
          <t>Simulate vendor/API unavailable</t>
        </is>
      </c>
      <c r="F28" s="43" t="inlineStr">
        <is>
          <t>Call fails gracefully without crashing infrastructure</t>
        </is>
      </c>
      <c r="G28" s="43" t="n"/>
      <c r="H28" s="27" t="n"/>
      <c r="I28" s="27" t="n"/>
      <c r="J28" s="27" t="inlineStr">
        <is>
          <t>Not Run</t>
        </is>
      </c>
      <c r="K28" s="27" t="n"/>
      <c r="L28" s="44" t="n"/>
      <c r="M28" s="43" t="n"/>
    </row>
    <row r="29" ht="48" customHeight="1">
      <c r="A29" s="39" t="inlineStr">
        <is>
          <t>TC-25</t>
        </is>
      </c>
      <c r="B29" s="40" t="inlineStr">
        <is>
          <t>Failure Handling</t>
        </is>
      </c>
      <c r="C29" s="23" t="inlineStr">
        <is>
          <t>P1 – High</t>
        </is>
      </c>
      <c r="D29" s="40" t="inlineStr">
        <is>
          <t>WebSocket disconnect</t>
        </is>
      </c>
      <c r="E29" s="40" t="inlineStr">
        <is>
          <t>Disconnect WebSocket during call</t>
        </is>
      </c>
      <c r="F29" s="40" t="inlineStr">
        <is>
          <t>Failure is handled gracefully</t>
        </is>
      </c>
      <c r="G29" s="40" t="n"/>
      <c r="H29" s="23" t="n"/>
      <c r="I29" s="23" t="n"/>
      <c r="J29" s="23" t="inlineStr">
        <is>
          <t>Not Run</t>
        </is>
      </c>
      <c r="K29" s="23" t="n"/>
      <c r="L29" s="41" t="n"/>
      <c r="M29" s="40" t="n"/>
    </row>
    <row r="30" ht="48" customHeight="1">
      <c r="A30" s="42" t="inlineStr">
        <is>
          <t>TC-26</t>
        </is>
      </c>
      <c r="B30" s="43" t="inlineStr">
        <is>
          <t>Failure Handling</t>
        </is>
      </c>
      <c r="C30" s="27" t="inlineStr">
        <is>
          <t>P2 – Medium</t>
        </is>
      </c>
      <c r="D30" s="43" t="inlineStr">
        <is>
          <t>Network latency</t>
        </is>
      </c>
      <c r="E30" s="43" t="inlineStr">
        <is>
          <t>Introduce network delay</t>
        </is>
      </c>
      <c r="F30" s="43" t="inlineStr">
        <is>
          <t>System remains usable or fails gracefully</t>
        </is>
      </c>
      <c r="G30" s="43" t="n"/>
      <c r="H30" s="27" t="n"/>
      <c r="I30" s="27" t="n"/>
      <c r="J30" s="27" t="inlineStr">
        <is>
          <t>Not Run</t>
        </is>
      </c>
      <c r="K30" s="27" t="n"/>
      <c r="L30" s="44" t="n"/>
      <c r="M30" s="43" t="n"/>
    </row>
    <row r="31" ht="48" customHeight="1">
      <c r="A31" s="39" t="inlineStr">
        <is>
          <t>TC-27</t>
        </is>
      </c>
      <c r="B31" s="40" t="inlineStr">
        <is>
          <t>Failure Handling</t>
        </is>
      </c>
      <c r="C31" s="23" t="inlineStr">
        <is>
          <t>P1 – High</t>
        </is>
      </c>
      <c r="D31" s="40" t="inlineStr">
        <is>
          <t>Vendor API error</t>
        </is>
      </c>
      <c r="E31" s="40" t="inlineStr">
        <is>
          <t>Trigger/observe API error response</t>
        </is>
      </c>
      <c r="F31" s="40" t="inlineStr">
        <is>
          <t>Error is handled without unexpected call failure</t>
        </is>
      </c>
      <c r="G31" s="40" t="n"/>
      <c r="H31" s="23" t="n"/>
      <c r="I31" s="23" t="n"/>
      <c r="J31" s="23" t="inlineStr">
        <is>
          <t>Not Run</t>
        </is>
      </c>
      <c r="K31" s="23" t="n"/>
      <c r="L31" s="41" t="n"/>
      <c r="M31" s="40" t="n"/>
    </row>
    <row r="32" ht="48" customHeight="1">
      <c r="A32" s="42" t="inlineStr">
        <is>
          <t>TC-28</t>
        </is>
      </c>
      <c r="B32" s="43" t="inlineStr">
        <is>
          <t>Failure Handling</t>
        </is>
      </c>
      <c r="C32" s="27" t="inlineStr">
        <is>
          <t>P2 – Medium</t>
        </is>
      </c>
      <c r="D32" s="43" t="inlineStr">
        <is>
          <t>Unsupported language</t>
        </is>
      </c>
      <c r="E32" s="43" t="inlineStr">
        <is>
          <t>Attempt unsupported language</t>
        </is>
      </c>
      <c r="F32" s="43" t="inlineStr">
        <is>
          <t>Clear handling; no incorrect translation</t>
        </is>
      </c>
      <c r="G32" s="43" t="n"/>
      <c r="H32" s="27" t="n"/>
      <c r="I32" s="27" t="n"/>
      <c r="J32" s="27" t="inlineStr">
        <is>
          <t>Not Run</t>
        </is>
      </c>
      <c r="K32" s="27" t="n"/>
      <c r="L32" s="44" t="n"/>
      <c r="M32" s="43" t="n"/>
    </row>
    <row r="33" ht="48" customHeight="1">
      <c r="A33" s="39" t="inlineStr">
        <is>
          <t>TC-29</t>
        </is>
      </c>
      <c r="B33" s="40" t="inlineStr">
        <is>
          <t>Failure Handling</t>
        </is>
      </c>
      <c r="C33" s="23" t="inlineStr">
        <is>
          <t>P2 – Medium</t>
        </is>
      </c>
      <c r="D33" s="40" t="inlineStr">
        <is>
          <t>Silence</t>
        </is>
      </c>
      <c r="E33" s="40" t="inlineStr">
        <is>
          <t>Remain silent for an extended period</t>
        </is>
      </c>
      <c r="F33" s="40" t="inlineStr">
        <is>
          <t>No unexpected translated speech</t>
        </is>
      </c>
      <c r="G33" s="40" t="n"/>
      <c r="H33" s="23" t="n"/>
      <c r="I33" s="23" t="n"/>
      <c r="J33" s="23" t="inlineStr">
        <is>
          <t>Not Run</t>
        </is>
      </c>
      <c r="K33" s="23" t="n"/>
      <c r="L33" s="41" t="n"/>
      <c r="M33" s="40" t="n"/>
    </row>
    <row r="34" ht="48" customHeight="1">
      <c r="A34" s="42" t="inlineStr">
        <is>
          <t>TC-30</t>
        </is>
      </c>
      <c r="B34" s="43" t="inlineStr">
        <is>
          <t>Failure Handling</t>
        </is>
      </c>
      <c r="C34" s="27" t="inlineStr">
        <is>
          <t>P2 – Medium</t>
        </is>
      </c>
      <c r="D34" s="43" t="inlineStr">
        <is>
          <t>Long silence</t>
        </is>
      </c>
      <c r="E34" s="43" t="inlineStr">
        <is>
          <t>Test extended silence during active call</t>
        </is>
      </c>
      <c r="F34" s="43" t="inlineStr">
        <is>
          <t>Session remains stable</t>
        </is>
      </c>
      <c r="G34" s="43" t="n"/>
      <c r="H34" s="27" t="n"/>
      <c r="I34" s="27" t="n"/>
      <c r="J34" s="27" t="inlineStr">
        <is>
          <t>Not Run</t>
        </is>
      </c>
      <c r="K34" s="27" t="n"/>
      <c r="L34" s="44" t="n"/>
      <c r="M34" s="43" t="n"/>
    </row>
    <row r="35" ht="48" customHeight="1">
      <c r="A35" s="39" t="inlineStr">
        <is>
          <t>TC-31</t>
        </is>
      </c>
      <c r="B35" s="40" t="inlineStr">
        <is>
          <t>Failure Handling</t>
        </is>
      </c>
      <c r="C35" s="23" t="inlineStr">
        <is>
          <t>P1 – High</t>
        </is>
      </c>
      <c r="D35" s="40" t="inlineStr">
        <is>
          <t>Caller hang-up</t>
        </is>
      </c>
      <c r="E35" s="40" t="inlineStr">
        <is>
          <t>Hang up before translation completes</t>
        </is>
      </c>
      <c r="F35" s="40" t="inlineStr">
        <is>
          <t>Palabra session is cleaned up</t>
        </is>
      </c>
      <c r="G35" s="40" t="n"/>
      <c r="H35" s="23" t="n"/>
      <c r="I35" s="23" t="n"/>
      <c r="J35" s="23" t="inlineStr">
        <is>
          <t>Not Run</t>
        </is>
      </c>
      <c r="K35" s="23" t="n"/>
      <c r="L35" s="41" t="n"/>
      <c r="M35" s="40" t="n"/>
    </row>
    <row r="36" ht="48" customHeight="1">
      <c r="A36" s="42" t="inlineStr">
        <is>
          <t>TC-32</t>
        </is>
      </c>
      <c r="B36" s="43" t="inlineStr">
        <is>
          <t>Failure Handling</t>
        </is>
      </c>
      <c r="C36" s="27" t="inlineStr">
        <is>
          <t>P1 – High</t>
        </is>
      </c>
      <c r="D36" s="43" t="inlineStr">
        <is>
          <t>Orphan session</t>
        </is>
      </c>
      <c r="E36" s="43" t="inlineStr">
        <is>
          <t>Verify session after call termination</t>
        </is>
      </c>
      <c r="F36" s="43" t="inlineStr">
        <is>
          <t>No orphan WebSocket/session remains</t>
        </is>
      </c>
      <c r="G36" s="43" t="n"/>
      <c r="H36" s="27" t="n"/>
      <c r="I36" s="27" t="n"/>
      <c r="J36" s="27" t="inlineStr">
        <is>
          <t>Not Run</t>
        </is>
      </c>
      <c r="K36" s="27" t="n"/>
      <c r="L36" s="44" t="n"/>
      <c r="M36" s="43" t="n"/>
    </row>
    <row r="37" ht="48" customHeight="1">
      <c r="A37" s="39" t="inlineStr">
        <is>
          <t>TC-33</t>
        </is>
      </c>
      <c r="B37" s="40" t="inlineStr">
        <is>
          <t>Performance</t>
        </is>
      </c>
      <c r="C37" s="23" t="inlineStr">
        <is>
          <t>P2 – Medium</t>
        </is>
      </c>
      <c r="D37" s="40" t="inlineStr">
        <is>
          <t>Concurrent calls</t>
        </is>
      </c>
      <c r="E37" s="40" t="inlineStr">
        <is>
          <t>Run 2–3 calls simultaneously</t>
        </is>
      </c>
      <c r="F37" s="40" t="inlineStr">
        <is>
          <t>Calls do not interfere with each other</t>
        </is>
      </c>
      <c r="G37" s="40" t="n"/>
      <c r="H37" s="23" t="n"/>
      <c r="I37" s="23" t="n"/>
      <c r="J37" s="23" t="inlineStr">
        <is>
          <t>Not Run</t>
        </is>
      </c>
      <c r="K37" s="23" t="n"/>
      <c r="L37" s="41" t="n"/>
      <c r="M37" s="40" t="n"/>
    </row>
    <row r="38" ht="48" customHeight="1">
      <c r="A38" s="42" t="inlineStr">
        <is>
          <t>TC-34</t>
        </is>
      </c>
      <c r="B38" s="43" t="inlineStr">
        <is>
          <t>Audio</t>
        </is>
      </c>
      <c r="C38" s="27" t="inlineStr">
        <is>
          <t>P1 – High</t>
        </is>
      </c>
      <c r="D38" s="43" t="inlineStr">
        <is>
          <t>Audio format handling</t>
        </is>
      </c>
      <c r="E38" s="43" t="inlineStr">
        <is>
          <t>Send expected Twilio audio format through bridge</t>
        </is>
      </c>
      <c r="F38" s="43" t="inlineStr">
        <is>
          <t>Audio is accepted and translated correctly</t>
        </is>
      </c>
      <c r="G38" s="43" t="n"/>
      <c r="H38" s="27" t="n"/>
      <c r="I38" s="27" t="n"/>
      <c r="J38" s="27" t="inlineStr">
        <is>
          <t>Not Run</t>
        </is>
      </c>
      <c r="K38" s="27" t="n"/>
      <c r="L38" s="44" t="n"/>
      <c r="M38" s="43" t="n"/>
    </row>
  </sheetData>
  <autoFilter ref="A4:M38"/>
  <mergeCells count="2">
    <mergeCell ref="A2:M2"/>
    <mergeCell ref="A1:M1"/>
  </mergeCells>
  <conditionalFormatting sqref="J5:J38">
    <cfRule type="expression" priority="1" dxfId="0">
      <formula>J5="Pass"</formula>
    </cfRule>
    <cfRule type="expression" priority="2" dxfId="1">
      <formula>J5="Fail"</formula>
    </cfRule>
    <cfRule type="expression" priority="3" dxfId="2">
      <formula>J5="Blocked"</formula>
    </cfRule>
    <cfRule type="expression" priority="4" dxfId="3">
      <formula>J5="Not Run"</formula>
    </cfRule>
    <cfRule type="expression" priority="5" dxfId="4">
      <formula>J5="In Progress"</formula>
    </cfRule>
    <cfRule type="expression" priority="6" dxfId="5">
      <formula>J5="N/A"</formula>
    </cfRule>
    <cfRule type="expression" priority="7" dxfId="6">
      <formula>J5="Partial"</formula>
    </cfRule>
  </conditionalFormatting>
  <conditionalFormatting sqref="I5:I38">
    <cfRule type="colorScale" priority="8">
      <colorScale>
        <cfvo type="num" val="1"/>
        <cfvo type="num" val="3"/>
        <cfvo type="num" val="5"/>
        <color rgb="00FCA5A5"/>
        <color rgb="00FDE68A"/>
        <color rgb="006EE7B7"/>
      </colorScale>
    </cfRule>
  </conditionalFormatting>
  <dataValidations count="4">
    <dataValidation sqref="B5:B38" showDropDown="0" showInputMessage="1" showErrorMessage="1" allowBlank="1" errorTitle="Invalid value" error="Pick a value from the dropdown" promptTitle="Category" prompt="Select a test category" type="list">
      <formula1>dd_category</formula1>
    </dataValidation>
    <dataValidation sqref="C5:C38" showDropDown="0" showInputMessage="1" showErrorMessage="1" allowBlank="1" errorTitle="Invalid value" error="Pick a value from the dropdown" promptTitle="Priority" prompt="Select execution priority" type="list">
      <formula1>dd_priority</formula1>
    </dataValidation>
    <dataValidation sqref="I5:I38" showDropDown="0" showInputMessage="1" showErrorMessage="1" allowBlank="1" errorTitle="Invalid value" error="Pick a value from the dropdown" promptTitle="Accuracy" prompt="1 = unusable, 5 = native-quality" type="list">
      <formula1>dd_accuracy</formula1>
    </dataValidation>
    <dataValidation sqref="J5:J38" showDropDown="0" showInputMessage="1" showErrorMessage="1" allowBlank="1" errorTitle="Invalid value" error="Pick a value from the dropdown" promptTitle="Pass/Fail" prompt="Select execution result" type="list">
      <formula1>dd_status</formula1>
    </dataValidation>
  </dataValidation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C4A35A"/>
    <outlinePr summaryBelow="1" summaryRight="1"/>
    <pageSetUpPr fitToPage="1"/>
  </sheetPr>
  <dimension ref="A1:J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6" customWidth="1" min="3" max="3"/>
    <col width="22" customWidth="1" min="4" max="4"/>
    <col width="26" customWidth="1" min="5" max="5"/>
    <col width="22" customWidth="1" min="6" max="6"/>
    <col width="16" customWidth="1" min="7" max="7"/>
    <col width="22" customWidth="1" min="8" max="8"/>
    <col width="22" customWidth="1" min="9" max="9"/>
    <col width="42" customWidth="1" min="10" max="10"/>
  </cols>
  <sheetData>
    <row r="1" ht="36" customHeight="1">
      <c r="A1" s="1" t="inlineStr">
        <is>
          <t>Three live test calls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3" t="inlineStr">
        <is>
          <t>Fill one row per sandbox call  ·  latency from [latency] Palabra logs (palabraMs / e2eMs)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28" customHeight="1">
      <c r="A4" s="19" t="inlineStr">
        <is>
          <t>Call</t>
        </is>
      </c>
      <c r="B4" s="19" t="inlineStr">
        <is>
          <t>Language / Scenario</t>
        </is>
      </c>
      <c r="C4" s="19" t="inlineStr">
        <is>
          <t>First Audio Latency (sec)</t>
        </is>
      </c>
      <c r="D4" s="19" t="inlineStr">
        <is>
          <t>Typical Latency (sec)</t>
        </is>
      </c>
      <c r="E4" s="19" t="inlineStr">
        <is>
          <t>Translation Quality (1–5)</t>
        </is>
      </c>
      <c r="F4" s="19" t="inlineStr">
        <is>
          <t>Audio Quality (1–5)</t>
        </is>
      </c>
      <c r="G4" s="19" t="inlineStr">
        <is>
          <t>Overall Result</t>
        </is>
      </c>
      <c r="H4" s="19" t="inlineStr">
        <is>
          <t>Agent heard client?</t>
        </is>
      </c>
      <c r="I4" s="19" t="inlineStr">
        <is>
          <t>Client heard agent?</t>
        </is>
      </c>
      <c r="J4" s="19" t="inlineStr">
        <is>
          <t>Notes</t>
        </is>
      </c>
    </row>
    <row r="5" ht="32" customHeight="1">
      <c r="A5" s="39" t="inlineStr">
        <is>
          <t>Call 1</t>
        </is>
      </c>
      <c r="B5" s="23" t="inlineStr">
        <is>
          <t>English → Hindi</t>
        </is>
      </c>
      <c r="C5" s="23" t="n"/>
      <c r="D5" s="23" t="n"/>
      <c r="E5" s="23" t="n"/>
      <c r="F5" s="23" t="n"/>
      <c r="G5" s="23" t="inlineStr">
        <is>
          <t>Not Run</t>
        </is>
      </c>
      <c r="H5" s="23" t="inlineStr">
        <is>
          <t>Not Run</t>
        </is>
      </c>
      <c r="I5" s="23" t="inlineStr">
        <is>
          <t>Not Run</t>
        </is>
      </c>
      <c r="J5" s="40" t="n"/>
    </row>
    <row r="6" ht="32" customHeight="1">
      <c r="A6" s="42" t="inlineStr">
        <is>
          <t>Call 2</t>
        </is>
      </c>
      <c r="B6" s="27" t="inlineStr">
        <is>
          <t>Hindi → English</t>
        </is>
      </c>
      <c r="C6" s="27" t="n"/>
      <c r="D6" s="27" t="n"/>
      <c r="E6" s="27" t="n"/>
      <c r="F6" s="27" t="n"/>
      <c r="G6" s="27" t="inlineStr">
        <is>
          <t>Not Run</t>
        </is>
      </c>
      <c r="H6" s="27" t="inlineStr">
        <is>
          <t>Not Run</t>
        </is>
      </c>
      <c r="I6" s="27" t="inlineStr">
        <is>
          <t>Not Run</t>
        </is>
      </c>
      <c r="J6" s="43" t="n"/>
    </row>
    <row r="7" ht="32" customHeight="1">
      <c r="A7" s="39" t="inlineStr">
        <is>
          <t>Call 3</t>
        </is>
      </c>
      <c r="B7" s="23" t="inlineStr">
        <is>
          <t>Two-way (EN ↔ HI)</t>
        </is>
      </c>
      <c r="C7" s="23" t="n"/>
      <c r="D7" s="23" t="n"/>
      <c r="E7" s="23" t="n"/>
      <c r="F7" s="23" t="n"/>
      <c r="G7" s="23" t="inlineStr">
        <is>
          <t>Not Run</t>
        </is>
      </c>
      <c r="H7" s="23" t="inlineStr">
        <is>
          <t>Not Run</t>
        </is>
      </c>
      <c r="I7" s="23" t="inlineStr">
        <is>
          <t>Not Run</t>
        </is>
      </c>
      <c r="J7" s="40" t="inlineStr">
        <is>
          <t>Realistic CX/Ops booking conversation</t>
        </is>
      </c>
    </row>
  </sheetData>
  <autoFilter ref="A4:J7"/>
  <mergeCells count="2">
    <mergeCell ref="A1:J1"/>
    <mergeCell ref="A2:J2"/>
  </mergeCells>
  <conditionalFormatting sqref="G5:G7">
    <cfRule type="expression" priority="1" dxfId="0">
      <formula>G5="Pass"</formula>
    </cfRule>
    <cfRule type="expression" priority="2" dxfId="1">
      <formula>G5="Fail"</formula>
    </cfRule>
    <cfRule type="expression" priority="3" dxfId="2">
      <formula>G5="Blocked"</formula>
    </cfRule>
    <cfRule type="expression" priority="4" dxfId="3">
      <formula>G5="Not Run"</formula>
    </cfRule>
    <cfRule type="expression" priority="5" dxfId="4">
      <formula>G5="In Progress"</formula>
    </cfRule>
    <cfRule type="expression" priority="6" dxfId="5">
      <formula>G5="N/A"</formula>
    </cfRule>
    <cfRule type="expression" priority="7" dxfId="6">
      <formula>G5="Partial"</formula>
    </cfRule>
  </conditionalFormatting>
  <conditionalFormatting sqref="H5:H7">
    <cfRule type="expression" priority="8" dxfId="0">
      <formula>H5="Pass"</formula>
    </cfRule>
    <cfRule type="expression" priority="9" dxfId="1">
      <formula>H5="Fail"</formula>
    </cfRule>
    <cfRule type="expression" priority="10" dxfId="2">
      <formula>H5="Blocked"</formula>
    </cfRule>
    <cfRule type="expression" priority="11" dxfId="3">
      <formula>H5="Not Run"</formula>
    </cfRule>
    <cfRule type="expression" priority="12" dxfId="4">
      <formula>H5="In Progress"</formula>
    </cfRule>
    <cfRule type="expression" priority="13" dxfId="5">
      <formula>H5="N/A"</formula>
    </cfRule>
    <cfRule type="expression" priority="14" dxfId="6">
      <formula>H5="Partial"</formula>
    </cfRule>
  </conditionalFormatting>
  <conditionalFormatting sqref="I5:I7">
    <cfRule type="expression" priority="15" dxfId="0">
      <formula>I5="Pass"</formula>
    </cfRule>
    <cfRule type="expression" priority="16" dxfId="1">
      <formula>I5="Fail"</formula>
    </cfRule>
    <cfRule type="expression" priority="17" dxfId="2">
      <formula>I5="Blocked"</formula>
    </cfRule>
    <cfRule type="expression" priority="18" dxfId="3">
      <formula>I5="Not Run"</formula>
    </cfRule>
    <cfRule type="expression" priority="19" dxfId="4">
      <formula>I5="In Progress"</formula>
    </cfRule>
    <cfRule type="expression" priority="20" dxfId="5">
      <formula>I5="N/A"</formula>
    </cfRule>
    <cfRule type="expression" priority="21" dxfId="6">
      <formula>I5="Partial"</formula>
    </cfRule>
  </conditionalFormatting>
  <conditionalFormatting sqref="E5:E7">
    <cfRule type="colorScale" priority="22">
      <colorScale>
        <cfvo type="num" val="1"/>
        <cfvo type="num" val="3"/>
        <cfvo type="num" val="5"/>
        <color rgb="00FCA5A5"/>
        <color rgb="00FDE68A"/>
        <color rgb="006EE7B7"/>
      </colorScale>
    </cfRule>
  </conditionalFormatting>
  <conditionalFormatting sqref="F5:F7">
    <cfRule type="colorScale" priority="23">
      <colorScale>
        <cfvo type="num" val="1"/>
        <cfvo type="num" val="3"/>
        <cfvo type="num" val="5"/>
        <color rgb="00FCA5A5"/>
        <color rgb="00FDE68A"/>
        <color rgb="006EE7B7"/>
      </colorScale>
    </cfRule>
  </conditionalFormatting>
  <dataValidations count="5">
    <dataValidation sqref="A5:A7" showDropDown="0" showInputMessage="1" showErrorMessage="1" allowBlank="1" errorTitle="Invalid value" error="Pick a value from the dropdown" promptTitle="Call" prompt="Select Call 1, 2 or 3" type="list">
      <formula1>dd_call</formula1>
    </dataValidation>
    <dataValidation sqref="B5:B7" showDropDown="0" showInputMessage="1" showErrorMessage="1" allowBlank="1" errorTitle="Invalid value" error="Pick a value from the dropdown" promptTitle="Language pair" prompt="Select the direction under test" type="list">
      <formula1>dd_language</formula1>
    </dataValidation>
    <dataValidation sqref="E5:F7" showDropDown="0" showInputMessage="1" showErrorMessage="1" allowBlank="1" errorTitle="Invalid value" error="Pick a value from the dropdown" promptTitle="Score" prompt="1 = poor, 5 = excellent" type="list">
      <formula1>dd_accuracy</formula1>
    </dataValidation>
    <dataValidation sqref="G5:G7" showDropDown="0" showInputMessage="1" showErrorMessage="1" allowBlank="1" errorTitle="Invalid value" error="Pick a value from the dropdown" promptTitle="Overall result" prompt="Select Pass, Fail, Partial or Not Run" type="list">
      <formula1>dd_call_result</formula1>
    </dataValidation>
    <dataValidation sqref="H5:I7" showDropDown="0" showInputMessage="1" showErrorMessage="1" allowBlank="1" errorTitle="Invalid value" error="Pick a value from the dropdown" promptTitle="Heard?" prompt="Did this side hear translated audio?" type="list">
      <formula1>dd_heard</formula1>
    </dataValidation>
  </dataValidations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42" customWidth="1" min="3" max="3"/>
    <col width="16" customWidth="1" min="4" max="4"/>
    <col width="14" customWidth="1" min="5" max="5"/>
    <col width="12" customWidth="1" min="6" max="6"/>
    <col width="28" customWidth="1" min="7" max="7"/>
  </cols>
  <sheetData>
    <row r="1" ht="36" customHeight="1">
      <c r="A1" s="1" t="inlineStr">
        <is>
          <t>Critical phrases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Speak each phrase on the agent (EN)  ·  paste what Palabra produced  ·  score meaning, names, numbers and negation</t>
        </is>
      </c>
      <c r="B2" s="4" t="n"/>
      <c r="C2" s="4" t="n"/>
      <c r="D2" s="4" t="n"/>
      <c r="E2" s="4" t="n"/>
      <c r="F2" s="4" t="n"/>
      <c r="G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</row>
    <row r="4" ht="28" customHeight="1">
      <c r="A4" s="19" t="inlineStr">
        <is>
          <t>Scenario</t>
        </is>
      </c>
      <c r="B4" s="19" t="inlineStr">
        <is>
          <t>Test Phrase (English)</t>
        </is>
      </c>
      <c r="C4" s="19" t="inlineStr">
        <is>
          <t>Actual Translation</t>
        </is>
      </c>
      <c r="D4" s="19" t="inlineStr">
        <is>
          <t>Accuracy (1–5)</t>
        </is>
      </c>
      <c r="E4" s="19" t="inlineStr">
        <is>
          <t>Pass/Fail</t>
        </is>
      </c>
      <c r="F4" s="19" t="inlineStr">
        <is>
          <t>Call</t>
        </is>
      </c>
      <c r="G4" s="19" t="inlineStr">
        <is>
          <t>Notes</t>
        </is>
      </c>
    </row>
    <row r="5" ht="36" customHeight="1">
      <c r="A5" s="45" t="inlineStr">
        <is>
          <t>Booking confirmation</t>
        </is>
      </c>
      <c r="B5" s="40" t="inlineStr">
        <is>
          <t>Your booking is confirmed for tomorrow at 10 AM.</t>
        </is>
      </c>
      <c r="C5" s="40" t="n"/>
      <c r="D5" s="23" t="n"/>
      <c r="E5" s="23" t="inlineStr">
        <is>
          <t>Not Run</t>
        </is>
      </c>
      <c r="F5" s="23" t="n"/>
      <c r="G5" s="40" t="n"/>
    </row>
    <row r="6" ht="36" customHeight="1">
      <c r="A6" s="46" t="inlineStr">
        <is>
          <t>Cancellation</t>
        </is>
      </c>
      <c r="B6" s="43" t="inlineStr">
        <is>
          <t>I need to cancel the booking.</t>
        </is>
      </c>
      <c r="C6" s="43" t="n"/>
      <c r="D6" s="27" t="n"/>
      <c r="E6" s="27" t="inlineStr">
        <is>
          <t>Not Run</t>
        </is>
      </c>
      <c r="F6" s="27" t="n"/>
      <c r="G6" s="43" t="n"/>
    </row>
    <row r="7" ht="36" customHeight="1">
      <c r="A7" s="45" t="inlineStr">
        <is>
          <t>No cancellation</t>
        </is>
      </c>
      <c r="B7" s="40" t="inlineStr">
        <is>
          <t>I don't want to cancel the booking.</t>
        </is>
      </c>
      <c r="C7" s="40" t="n"/>
      <c r="D7" s="23" t="n"/>
      <c r="E7" s="23" t="inlineStr">
        <is>
          <t>Not Run</t>
        </is>
      </c>
      <c r="F7" s="23" t="n"/>
      <c r="G7" s="40" t="n"/>
    </row>
    <row r="8" ht="36" customHeight="1">
      <c r="A8" s="46" t="inlineStr">
        <is>
          <t>Reschedule</t>
        </is>
      </c>
      <c r="B8" s="43" t="inlineStr">
        <is>
          <t>I need to reschedule my appointment.</t>
        </is>
      </c>
      <c r="C8" s="43" t="n"/>
      <c r="D8" s="27" t="n"/>
      <c r="E8" s="27" t="inlineStr">
        <is>
          <t>Not Run</t>
        </is>
      </c>
      <c r="F8" s="27" t="n"/>
      <c r="G8" s="43" t="n"/>
    </row>
    <row r="9" ht="36" customHeight="1">
      <c r="A9" s="45" t="inlineStr">
        <is>
          <t>Date/time</t>
        </is>
      </c>
      <c r="B9" s="40" t="inlineStr">
        <is>
          <t>The appointment is on August 20 at 3:30 PM.</t>
        </is>
      </c>
      <c r="C9" s="40" t="n"/>
      <c r="D9" s="23" t="n"/>
      <c r="E9" s="23" t="inlineStr">
        <is>
          <t>Not Run</t>
        </is>
      </c>
      <c r="F9" s="23" t="n"/>
      <c r="G9" s="40" t="n"/>
    </row>
    <row r="10" ht="36" customHeight="1">
      <c r="A10" s="46" t="inlineStr">
        <is>
          <t>Price</t>
        </is>
      </c>
      <c r="B10" s="43" t="inlineStr">
        <is>
          <t>The booking costs 150 dollars.</t>
        </is>
      </c>
      <c r="C10" s="43" t="n"/>
      <c r="D10" s="27" t="n"/>
      <c r="E10" s="27" t="inlineStr">
        <is>
          <t>Not Run</t>
        </is>
      </c>
      <c r="F10" s="27" t="n"/>
      <c r="G10" s="43" t="n"/>
    </row>
    <row r="11" ht="36" customHeight="1">
      <c r="A11" s="45" t="inlineStr">
        <is>
          <t>Address</t>
        </is>
      </c>
      <c r="B11" s="40" t="inlineStr">
        <is>
          <t>The appointment is at 25 George Street, Sydney.</t>
        </is>
      </c>
      <c r="C11" s="40" t="n"/>
      <c r="D11" s="23" t="n"/>
      <c r="E11" s="23" t="inlineStr">
        <is>
          <t>Not Run</t>
        </is>
      </c>
      <c r="F11" s="23" t="n"/>
      <c r="G11" s="40" t="n"/>
    </row>
    <row r="12" ht="36" customHeight="1">
      <c r="A12" s="46" t="inlineStr">
        <is>
          <t>Provider</t>
        </is>
      </c>
      <c r="B12" s="43" t="inlineStr">
        <is>
          <t>The provider will arrive at 10 AM.</t>
        </is>
      </c>
      <c r="C12" s="43" t="n"/>
      <c r="D12" s="27" t="n"/>
      <c r="E12" s="27" t="inlineStr">
        <is>
          <t>Not Run</t>
        </is>
      </c>
      <c r="F12" s="27" t="n"/>
      <c r="G12" s="43" t="n"/>
    </row>
    <row r="13" ht="36" customHeight="1">
      <c r="A13" s="45" t="inlineStr">
        <is>
          <t>Client</t>
        </is>
      </c>
      <c r="B13" s="40" t="inlineStr">
        <is>
          <t>The client has confirmed the appointment.</t>
        </is>
      </c>
      <c r="C13" s="40" t="n"/>
      <c r="D13" s="23" t="n"/>
      <c r="E13" s="23" t="inlineStr">
        <is>
          <t>Not Run</t>
        </is>
      </c>
      <c r="F13" s="23" t="n"/>
      <c r="G13" s="40" t="n"/>
    </row>
    <row r="14" ht="36" customHeight="1">
      <c r="A14" s="46" t="inlineStr">
        <is>
          <t>Question</t>
        </is>
      </c>
      <c r="B14" s="43" t="inlineStr">
        <is>
          <t>Can you confirm the booking time?</t>
        </is>
      </c>
      <c r="C14" s="43" t="n"/>
      <c r="D14" s="27" t="n"/>
      <c r="E14" s="27" t="inlineStr">
        <is>
          <t>Not Run</t>
        </is>
      </c>
      <c r="F14" s="27" t="n"/>
      <c r="G14" s="43" t="n"/>
    </row>
  </sheetData>
  <autoFilter ref="A4:G14"/>
  <mergeCells count="2">
    <mergeCell ref="A2:G2"/>
    <mergeCell ref="A1:G1"/>
  </mergeCells>
  <conditionalFormatting sqref="E5:E14">
    <cfRule type="expression" priority="1" dxfId="0">
      <formula>E5="Pass"</formula>
    </cfRule>
    <cfRule type="expression" priority="2" dxfId="1">
      <formula>E5="Fail"</formula>
    </cfRule>
    <cfRule type="expression" priority="3" dxfId="2">
      <formula>E5="Blocked"</formula>
    </cfRule>
    <cfRule type="expression" priority="4" dxfId="3">
      <formula>E5="Not Run"</formula>
    </cfRule>
    <cfRule type="expression" priority="5" dxfId="4">
      <formula>E5="In Progress"</formula>
    </cfRule>
    <cfRule type="expression" priority="6" dxfId="5">
      <formula>E5="N/A"</formula>
    </cfRule>
    <cfRule type="expression" priority="7" dxfId="6">
      <formula>E5="Partial"</formula>
    </cfRule>
  </conditionalFormatting>
  <conditionalFormatting sqref="D5:D14">
    <cfRule type="colorScale" priority="8">
      <colorScale>
        <cfvo type="num" val="1"/>
        <cfvo type="num" val="3"/>
        <cfvo type="num" val="5"/>
        <color rgb="00FCA5A5"/>
        <color rgb="00FDE68A"/>
        <color rgb="006EE7B7"/>
      </colorScale>
    </cfRule>
  </conditionalFormatting>
  <dataValidations count="3">
    <dataValidation sqref="D5:D14" showDropDown="0" showInputMessage="1" showErrorMessage="1" allowBlank="1" errorTitle="Invalid value" error="Pick a value from the dropdown" promptTitle="Accuracy" prompt="1 = wrong meaning, 5 = perfect" type="list">
      <formula1>dd_accuracy</formula1>
    </dataValidation>
    <dataValidation sqref="E5:E14" showDropDown="0" showInputMessage="1" showErrorMessage="1" allowBlank="1" errorTitle="Invalid value" error="Pick a value from the dropdown" promptTitle="Pass/Fail" prompt="Select execution result" type="list">
      <formula1>dd_status</formula1>
    </dataValidation>
    <dataValidation sqref="F5:F14" showDropDown="0" showInputMessage="1" showErrorMessage="1" allowBlank="1" errorTitle="Invalid value" error="Pick a value from the dropdown" promptTitle="Call" prompt="Which live call was this spoken on?" type="list">
      <formula1>dd_call</formula1>
    </dataValidation>
  </dataValidations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2026-08-18T04:13:52Z</dcterms:created>
  <dcterms:modified xsi:type="dcterms:W3CDTF">2026-08-18T04:13:52Z</dcterms:modified>
</cp:coreProperties>
</file>